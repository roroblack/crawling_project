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개요" sheetId="1" state="visible" r:id="rId1"/>
    <sheet xmlns:r="http://schemas.openxmlformats.org/officeDocument/2006/relationships" name="팀원" sheetId="2" state="visible" r:id="rId2"/>
    <sheet xmlns:r="http://schemas.openxmlformats.org/officeDocument/2006/relationships" name="작업분담" sheetId="3" state="visible" r:id="rId3"/>
    <sheet xmlns:r="http://schemas.openxmlformats.org/officeDocument/2006/relationships" name="데이터출처" sheetId="4" state="visible" r:id="rId4"/>
    <sheet xmlns:r="http://schemas.openxmlformats.org/officeDocument/2006/relationships" name="회의록" sheetId="5" state="visible" r:id="rId5"/>
    <sheet xmlns:r="http://schemas.openxmlformats.org/officeDocument/2006/relationships" name="이슈로그" sheetId="6" state="visible" r:id="rId6"/>
  </sheets>
  <definedNames>
    <definedName name="_xlnm._FilterDatabase" localSheetId="0" hidden="1">'프로젝트개요'!$A$1:$B$18</definedName>
    <definedName name="_xlnm._FilterDatabase" localSheetId="1" hidden="1">'팀원'!$A$1:$D$5</definedName>
    <definedName name="_xlnm._FilterDatabase" localSheetId="2" hidden="1">'작업분담'!$A$1:$I$16</definedName>
    <definedName name="_xlnm._FilterDatabase" localSheetId="3" hidden="1">'데이터출처'!$A$1:$E$5</definedName>
    <definedName name="_xlnm._FilterDatabase" localSheetId="4" hidden="1">'회의록'!$A$1:$F$3</definedName>
    <definedName name="_xlnm._FilterDatabase" localSheetId="5" hidden="1">'이슈로그'!$A$1:$F$4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4A90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BF5FB"/>
      </patternFill>
    </fill>
    <fill>
      <patternFill patternType="solid">
        <fgColor rgb="00F4CCCC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EBF5FB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59999999999999" customWidth="1" min="1" max="1"/>
    <col width="50" customWidth="1" min="2" max="2"/>
  </cols>
  <sheetData>
    <row r="1" ht="20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팀명</t>
        </is>
      </c>
      <c r="B2" s="2" t="inlineStr">
        <is>
          <t>카데이터</t>
        </is>
      </c>
    </row>
    <row r="3">
      <c r="A3" s="2" t="inlineStr">
        <is>
          <t>팀장</t>
        </is>
      </c>
      <c r="B3" s="2" t="inlineStr">
        <is>
          <t>최연우</t>
        </is>
      </c>
    </row>
    <row r="4">
      <c r="A4" s="2" t="inlineStr">
        <is>
          <t>팀원</t>
        </is>
      </c>
      <c r="B4" s="2" t="inlineStr">
        <is>
          <t>권소라, 김지혜, 박회종</t>
        </is>
      </c>
    </row>
    <row r="5">
      <c r="A5" s="2" t="inlineStr">
        <is>
          <t>프로젝트명</t>
        </is>
      </c>
      <c r="B5" s="2" t="inlineStr">
        <is>
          <t>물로간다</t>
        </is>
      </c>
    </row>
    <row r="6">
      <c r="A6" s="2" t="inlineStr">
        <is>
          <t>주제</t>
        </is>
      </c>
      <c r="B6" s="2" t="inlineStr">
        <is>
          <t>한국 자동차 등록 현황 및 기업 FAQ 조회시스템</t>
        </is>
      </c>
    </row>
    <row r="7">
      <c r="A7" s="2" t="inlineStr">
        <is>
          <t>발표일</t>
        </is>
      </c>
      <c r="B7" s="2" t="inlineStr">
        <is>
          <t>2026-05-19</t>
        </is>
      </c>
    </row>
    <row r="8">
      <c r="A8" s="2" t="inlineStr">
        <is>
          <t>발표 형식</t>
        </is>
      </c>
      <c r="B8" s="2" t="inlineStr">
        <is>
          <t>팀당 발표 10분 + Q&amp;A 10분</t>
        </is>
      </c>
    </row>
    <row r="9">
      <c r="A9" s="2" t="inlineStr">
        <is>
          <t>GitHub</t>
        </is>
      </c>
      <c r="B9" s="2" t="inlineStr"/>
    </row>
    <row r="10">
      <c r="A10" s="2" t="inlineStr">
        <is>
          <t>노션/Slack</t>
        </is>
      </c>
      <c r="B10" s="2" t="inlineStr"/>
    </row>
    <row r="11">
      <c r="A11" s="2" t="inlineStr"/>
      <c r="B11" s="2" t="inlineStr"/>
    </row>
    <row r="12">
      <c r="A12" s="2" t="inlineStr">
        <is>
          <t>── 진행 요약 (작업분담 시트 기준) ──</t>
        </is>
      </c>
      <c r="B12" s="2" t="inlineStr"/>
    </row>
    <row r="13">
      <c r="A13" s="2" t="inlineStr">
        <is>
          <t>전체 작업 수</t>
        </is>
      </c>
      <c r="B13" s="2">
        <f>COUNTA(작업분담!A2:A1000)-1</f>
        <v/>
      </c>
    </row>
    <row r="14">
      <c r="A14" s="3" t="inlineStr">
        <is>
          <t>Done</t>
        </is>
      </c>
      <c r="B14" s="2">
        <f>COUNTIF(작업분담!G2:G1000,"Done")</f>
        <v/>
      </c>
    </row>
    <row r="15">
      <c r="A15" s="4" t="inlineStr">
        <is>
          <t>Doing</t>
        </is>
      </c>
      <c r="B15" s="2">
        <f>COUNTIF(작업분담!G2:G1000,"Doing")</f>
        <v/>
      </c>
    </row>
    <row r="16">
      <c r="A16" s="5" t="inlineStr">
        <is>
          <t>Todo</t>
        </is>
      </c>
      <c r="B16" s="2">
        <f>COUNTIF(작업분담!G2:G1000,"Todo")</f>
        <v/>
      </c>
    </row>
    <row r="17">
      <c r="A17" s="6" t="inlineStr">
        <is>
          <t>Blocked</t>
        </is>
      </c>
      <c r="B17" s="2">
        <f>COUNTIF(작업분담!G2:G1000,"Blocked")</f>
        <v/>
      </c>
    </row>
    <row r="18">
      <c r="A18" s="2" t="inlineStr">
        <is>
          <t>완료율 (%)</t>
        </is>
      </c>
      <c r="B18" s="2">
        <f>IFERROR(ROUND(COUNTIF(작업분담!G2:G1000,"Done")/MAX(COUNTA(작업분담!A2:A1000)-1,1)*100,1),0)</f>
        <v/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.4" customWidth="1" min="2" max="2"/>
    <col width="8.399999999999999" customWidth="1" min="3" max="3"/>
    <col width="8" customWidth="1" min="4" max="4"/>
  </cols>
  <sheetData>
    <row r="1" ht="20" customHeight="1">
      <c r="A1" s="7" t="inlineStr">
        <is>
          <t>이름</t>
        </is>
      </c>
      <c r="B1" s="7" t="inlineStr">
        <is>
          <t>역할</t>
        </is>
      </c>
      <c r="C1" s="7" t="inlineStr">
        <is>
          <t>GitHub</t>
        </is>
      </c>
      <c r="D1" s="7" t="inlineStr">
        <is>
          <t>비고</t>
        </is>
      </c>
    </row>
    <row r="2">
      <c r="A2" s="2" t="inlineStr">
        <is>
          <t>최연우</t>
        </is>
      </c>
      <c r="B2" s="2" t="inlineStr">
        <is>
          <t>팀장 / Streamlit GUI 구현</t>
        </is>
      </c>
      <c r="C2" s="2" t="inlineStr"/>
      <c r="D2" s="2" t="inlineStr"/>
    </row>
    <row r="3">
      <c r="A3" s="2" t="inlineStr">
        <is>
          <t>권소라</t>
        </is>
      </c>
      <c r="B3" s="2" t="inlineStr">
        <is>
          <t>MySQL DB 설계 및 데이터 저장</t>
        </is>
      </c>
      <c r="C3" s="2" t="inlineStr"/>
      <c r="D3" s="2" t="inlineStr"/>
    </row>
    <row r="4">
      <c r="A4" s="2" t="inlineStr">
        <is>
          <t>김지혜</t>
        </is>
      </c>
      <c r="B4" s="2" t="inlineStr">
        <is>
          <t>크롤링 (bs4, Playwright)</t>
        </is>
      </c>
      <c r="C4" s="2" t="inlineStr"/>
      <c r="D4" s="2" t="inlineStr"/>
    </row>
    <row r="5">
      <c r="A5" s="2" t="inlineStr">
        <is>
          <t>박회종</t>
        </is>
      </c>
      <c r="B5" s="2" t="inlineStr">
        <is>
          <t>파이썬-MySQL 연동 조회 시스템</t>
        </is>
      </c>
      <c r="C5" s="2" t="inlineStr"/>
      <c r="D5" s="2" t="inlineStr"/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.799999999999999" customWidth="1" min="2" max="2"/>
    <col width="49" customWidth="1" min="3" max="3"/>
    <col width="8" customWidth="1" min="4" max="4"/>
    <col width="14" customWidth="1" min="5" max="5"/>
    <col width="14" customWidth="1" min="6" max="6"/>
    <col width="8" customWidth="1" min="7" max="7"/>
    <col width="8" customWidth="1" min="8" max="8"/>
    <col width="8" customWidth="1" min="9" max="9"/>
  </cols>
  <sheetData>
    <row r="1" ht="20" customHeight="1">
      <c r="A1" s="8" t="inlineStr">
        <is>
          <t>ID</t>
        </is>
      </c>
      <c r="B1" s="8" t="inlineStr">
        <is>
          <t>영역</t>
        </is>
      </c>
      <c r="C1" s="8" t="inlineStr">
        <is>
          <t>작업명</t>
        </is>
      </c>
      <c r="D1" s="8" t="inlineStr">
        <is>
          <t>담당자</t>
        </is>
      </c>
      <c r="E1" s="8" t="inlineStr">
        <is>
          <t>시작일</t>
        </is>
      </c>
      <c r="F1" s="8" t="inlineStr">
        <is>
          <t>마감일</t>
        </is>
      </c>
      <c r="G1" s="8" t="inlineStr">
        <is>
          <t>상태</t>
        </is>
      </c>
      <c r="H1" s="8" t="inlineStr">
        <is>
          <t>산출물</t>
        </is>
      </c>
      <c r="I1" s="8" t="inlineStr">
        <is>
          <t>비고</t>
        </is>
      </c>
    </row>
    <row r="2">
      <c r="A2" s="2" t="inlineStr">
        <is>
          <t>T-01</t>
        </is>
      </c>
      <c r="B2" s="2" t="inlineStr">
        <is>
          <t>DB</t>
        </is>
      </c>
      <c r="C2" s="2" t="inlineStr">
        <is>
          <t>DB 스키마 설계 (ERD 작성)</t>
        </is>
      </c>
      <c r="D2" s="2" t="inlineStr">
        <is>
          <t>권소라</t>
        </is>
      </c>
      <c r="E2" s="2" t="inlineStr">
        <is>
          <t>2026-05-14</t>
        </is>
      </c>
      <c r="F2" s="2" t="inlineStr"/>
      <c r="G2" s="5" t="inlineStr">
        <is>
          <t>Todo</t>
        </is>
      </c>
      <c r="H2" s="2" t="inlineStr"/>
      <c r="I2" s="2" t="inlineStr"/>
    </row>
    <row r="3">
      <c r="A3" s="2" t="inlineStr">
        <is>
          <t>T-02</t>
        </is>
      </c>
      <c r="B3" s="2" t="inlineStr">
        <is>
          <t>DB</t>
        </is>
      </c>
      <c r="C3" s="2" t="inlineStr">
        <is>
          <t>MySQL 테이블 생성 및 검증</t>
        </is>
      </c>
      <c r="D3" s="2" t="inlineStr">
        <is>
          <t>권소라</t>
        </is>
      </c>
      <c r="E3" s="2" t="inlineStr">
        <is>
          <t>2026-05-14</t>
        </is>
      </c>
      <c r="F3" s="2" t="inlineStr"/>
      <c r="G3" s="5" t="inlineStr">
        <is>
          <t>Todo</t>
        </is>
      </c>
      <c r="H3" s="2" t="inlineStr"/>
      <c r="I3" s="2" t="inlineStr"/>
    </row>
    <row r="4">
      <c r="A4" s="2" t="inlineStr">
        <is>
          <t>T-03</t>
        </is>
      </c>
      <c r="B4" s="2" t="inlineStr">
        <is>
          <t>DB</t>
        </is>
      </c>
      <c r="C4" s="2" t="inlineStr">
        <is>
          <t>SQLAlchemy 연동 (db.py)</t>
        </is>
      </c>
      <c r="D4" s="2" t="inlineStr">
        <is>
          <t>권소라</t>
        </is>
      </c>
      <c r="E4" s="2" t="inlineStr">
        <is>
          <t>2026-05-14</t>
        </is>
      </c>
      <c r="F4" s="2" t="inlineStr"/>
      <c r="G4" s="5" t="inlineStr">
        <is>
          <t>Todo</t>
        </is>
      </c>
      <c r="H4" s="2" t="inlineStr"/>
      <c r="I4" s="2" t="inlineStr"/>
    </row>
    <row r="5">
      <c r="A5" s="2" t="inlineStr">
        <is>
          <t>T-04</t>
        </is>
      </c>
      <c r="B5" s="2" t="inlineStr">
        <is>
          <t>Crawler</t>
        </is>
      </c>
      <c r="C5" s="2" t="inlineStr">
        <is>
          <t>국토부 엑셀 크롤러 (MolitCarCrawler)</t>
        </is>
      </c>
      <c r="D5" s="2" t="inlineStr">
        <is>
          <t>김지혜</t>
        </is>
      </c>
      <c r="E5" s="2" t="inlineStr">
        <is>
          <t>2026-05-14</t>
        </is>
      </c>
      <c r="F5" s="2" t="inlineStr"/>
      <c r="G5" s="5" t="inlineStr">
        <is>
          <t>Todo</t>
        </is>
      </c>
      <c r="H5" s="2" t="inlineStr"/>
      <c r="I5" s="2" t="inlineStr"/>
    </row>
    <row r="6">
      <c r="A6" s="2" t="inlineStr">
        <is>
          <t>T-05</t>
        </is>
      </c>
      <c r="B6" s="2" t="inlineStr">
        <is>
          <t>Crawler</t>
        </is>
      </c>
      <c r="C6" s="2" t="inlineStr">
        <is>
          <t>수소허브 등록현황 크롤러 (h2hub.or.kr)</t>
        </is>
      </c>
      <c r="D6" s="2" t="inlineStr">
        <is>
          <t>김지혜</t>
        </is>
      </c>
      <c r="E6" s="2" t="inlineStr">
        <is>
          <t>2026-05-14</t>
        </is>
      </c>
      <c r="F6" s="2" t="inlineStr"/>
      <c r="G6" s="5" t="inlineStr">
        <is>
          <t>Todo</t>
        </is>
      </c>
      <c r="H6" s="2" t="inlineStr"/>
      <c r="I6" s="2" t="inlineStr"/>
    </row>
    <row r="7">
      <c r="A7" s="2" t="inlineStr">
        <is>
          <t>T-06</t>
        </is>
      </c>
      <c r="B7" s="2" t="inlineStr">
        <is>
          <t>Crawler</t>
        </is>
      </c>
      <c r="C7" s="2" t="inlineStr">
        <is>
          <t>무공해차 FAQ 크롤러 (ev.or.kr)</t>
        </is>
      </c>
      <c r="D7" s="2" t="inlineStr">
        <is>
          <t>김지혜</t>
        </is>
      </c>
      <c r="E7" s="2" t="inlineStr">
        <is>
          <t>2026-05-14</t>
        </is>
      </c>
      <c r="F7" s="2" t="inlineStr"/>
      <c r="G7" s="5" t="inlineStr">
        <is>
          <t>Todo</t>
        </is>
      </c>
      <c r="H7" s="2" t="inlineStr"/>
      <c r="I7" s="2" t="inlineStr"/>
    </row>
    <row r="8">
      <c r="A8" s="2" t="inlineStr">
        <is>
          <t>T-07</t>
        </is>
      </c>
      <c r="B8" s="2" t="inlineStr">
        <is>
          <t>Crawler</t>
        </is>
      </c>
      <c r="C8" s="2" t="inlineStr">
        <is>
          <t>현대차 수소차 FAQ 크롤러 (hyundai.com)</t>
        </is>
      </c>
      <c r="D8" s="2" t="inlineStr">
        <is>
          <t>김지혜</t>
        </is>
      </c>
      <c r="E8" s="2" t="inlineStr">
        <is>
          <t>2026-05-14</t>
        </is>
      </c>
      <c r="F8" s="2" t="inlineStr"/>
      <c r="G8" s="5" t="inlineStr">
        <is>
          <t>Todo</t>
        </is>
      </c>
      <c r="H8" s="2" t="inlineStr"/>
      <c r="I8" s="2" t="inlineStr"/>
    </row>
    <row r="9">
      <c r="A9" s="2" t="inlineStr">
        <is>
          <t>T-08</t>
        </is>
      </c>
      <c r="B9" s="2" t="inlineStr">
        <is>
          <t>Backend</t>
        </is>
      </c>
      <c r="C9" s="2" t="inlineStr">
        <is>
          <t>크롤러-DB 저장 연동 (CrawlService)</t>
        </is>
      </c>
      <c r="D9" s="2" t="inlineStr">
        <is>
          <t>박회종</t>
        </is>
      </c>
      <c r="E9" s="2" t="inlineStr">
        <is>
          <t>2026-05-14</t>
        </is>
      </c>
      <c r="F9" s="2" t="inlineStr"/>
      <c r="G9" s="5" t="inlineStr">
        <is>
          <t>Todo</t>
        </is>
      </c>
      <c r="H9" s="2" t="inlineStr"/>
      <c r="I9" s="2" t="inlineStr"/>
    </row>
    <row r="10">
      <c r="A10" s="2" t="inlineStr">
        <is>
          <t>T-09</t>
        </is>
      </c>
      <c r="B10" s="2" t="inlineStr">
        <is>
          <t>Backend</t>
        </is>
      </c>
      <c r="C10" s="2" t="inlineStr">
        <is>
          <t>APScheduler 자동 크롤링 스케줄 등록</t>
        </is>
      </c>
      <c r="D10" s="2" t="inlineStr">
        <is>
          <t>박회종</t>
        </is>
      </c>
      <c r="E10" s="2" t="inlineStr">
        <is>
          <t>2026-05-14</t>
        </is>
      </c>
      <c r="F10" s="2" t="inlineStr"/>
      <c r="G10" s="5" t="inlineStr">
        <is>
          <t>Todo</t>
        </is>
      </c>
      <c r="H10" s="2" t="inlineStr"/>
      <c r="I10" s="2" t="inlineStr"/>
    </row>
    <row r="11">
      <c r="A11" s="2" t="inlineStr">
        <is>
          <t>T-10</t>
        </is>
      </c>
      <c r="B11" s="2" t="inlineStr">
        <is>
          <t>Backend</t>
        </is>
      </c>
      <c r="C11" s="2" t="inlineStr">
        <is>
          <t>조회 메서드 (find_all, find_by_region 등)</t>
        </is>
      </c>
      <c r="D11" s="2" t="inlineStr">
        <is>
          <t>박회종</t>
        </is>
      </c>
      <c r="E11" s="2" t="inlineStr">
        <is>
          <t>2026-05-14</t>
        </is>
      </c>
      <c r="F11" s="2" t="inlineStr"/>
      <c r="G11" s="5" t="inlineStr">
        <is>
          <t>Todo</t>
        </is>
      </c>
      <c r="H11" s="2" t="inlineStr"/>
      <c r="I11" s="2" t="inlineStr"/>
    </row>
    <row r="12">
      <c r="A12" s="2" t="inlineStr">
        <is>
          <t>T-11</t>
        </is>
      </c>
      <c r="B12" s="2" t="inlineStr">
        <is>
          <t>UI</t>
        </is>
      </c>
      <c r="C12" s="2" t="inlineStr">
        <is>
          <t>Streamlit 탭 구성 (등록현황/FAQ)</t>
        </is>
      </c>
      <c r="D12" s="2" t="inlineStr">
        <is>
          <t>최연우</t>
        </is>
      </c>
      <c r="E12" s="2" t="inlineStr">
        <is>
          <t>2026-05-14</t>
        </is>
      </c>
      <c r="F12" s="2" t="inlineStr"/>
      <c r="G12" s="5" t="inlineStr">
        <is>
          <t>Todo</t>
        </is>
      </c>
      <c r="H12" s="2" t="inlineStr"/>
      <c r="I12" s="2" t="inlineStr"/>
    </row>
    <row r="13">
      <c r="A13" s="2" t="inlineStr">
        <is>
          <t>T-12</t>
        </is>
      </c>
      <c r="B13" s="2" t="inlineStr">
        <is>
          <t>UI</t>
        </is>
      </c>
      <c r="C13" s="2" t="inlineStr">
        <is>
          <t>지역별 등록현황 막대/선 그래프</t>
        </is>
      </c>
      <c r="D13" s="2" t="inlineStr">
        <is>
          <t>최연우</t>
        </is>
      </c>
      <c r="E13" s="2" t="inlineStr">
        <is>
          <t>2026-05-14</t>
        </is>
      </c>
      <c r="F13" s="2" t="inlineStr"/>
      <c r="G13" s="5" t="inlineStr">
        <is>
          <t>Todo</t>
        </is>
      </c>
      <c r="H13" s="2" t="inlineStr"/>
      <c r="I13" s="2" t="inlineStr"/>
    </row>
    <row r="14">
      <c r="A14" s="2" t="inlineStr">
        <is>
          <t>T-13</t>
        </is>
      </c>
      <c r="B14" s="2" t="inlineStr">
        <is>
          <t>UI</t>
        </is>
      </c>
      <c r="C14" s="2" t="inlineStr">
        <is>
          <t>FAQ 키워드 검색 기능</t>
        </is>
      </c>
      <c r="D14" s="2" t="inlineStr">
        <is>
          <t>최연우</t>
        </is>
      </c>
      <c r="E14" s="2" t="inlineStr">
        <is>
          <t>2026-05-14</t>
        </is>
      </c>
      <c r="F14" s="2" t="inlineStr"/>
      <c r="G14" s="5" t="inlineStr">
        <is>
          <t>Todo</t>
        </is>
      </c>
      <c r="H14" s="2" t="inlineStr"/>
      <c r="I14" s="2" t="inlineStr"/>
    </row>
    <row r="15">
      <c r="A15" s="2" t="inlineStr">
        <is>
          <t>T-14</t>
        </is>
      </c>
      <c r="B15" s="2" t="inlineStr">
        <is>
          <t>Docs</t>
        </is>
      </c>
      <c r="C15" s="2" t="inlineStr">
        <is>
          <t>발표 슬라이드 작성</t>
        </is>
      </c>
      <c r="D15" s="2" t="inlineStr">
        <is>
          <t>전원</t>
        </is>
      </c>
      <c r="E15" s="2" t="inlineStr">
        <is>
          <t>2026-05-14</t>
        </is>
      </c>
      <c r="F15" s="2" t="inlineStr">
        <is>
          <t>2026-05-19</t>
        </is>
      </c>
      <c r="G15" s="5" t="inlineStr">
        <is>
          <t>Todo</t>
        </is>
      </c>
      <c r="H15" s="2" t="inlineStr"/>
      <c r="I15" s="2" t="inlineStr"/>
    </row>
    <row r="16">
      <c r="A16" s="2" t="inlineStr">
        <is>
          <t>T-15</t>
        </is>
      </c>
      <c r="B16" s="2" t="inlineStr">
        <is>
          <t>Docs</t>
        </is>
      </c>
      <c r="C16" s="2" t="inlineStr">
        <is>
          <t>README 최종 정리</t>
        </is>
      </c>
      <c r="D16" s="2" t="inlineStr">
        <is>
          <t>최연우</t>
        </is>
      </c>
      <c r="E16" s="2" t="inlineStr">
        <is>
          <t>2026-05-14</t>
        </is>
      </c>
      <c r="F16" s="2" t="inlineStr">
        <is>
          <t>2026-05-19</t>
        </is>
      </c>
      <c r="G16" s="5" t="inlineStr">
        <is>
          <t>Todo</t>
        </is>
      </c>
      <c r="H16" s="2" t="inlineStr"/>
      <c r="I16" s="2" t="inlineStr"/>
    </row>
  </sheetData>
  <autoFilter ref="A1:I16"/>
  <conditionalFormatting sqref="G2:G16">
    <cfRule type="cellIs" priority="1" operator="equal" dxfId="0">
      <formula>"Todo"</formula>
    </cfRule>
    <cfRule type="cellIs" priority="2" operator="equal" dxfId="1">
      <formula>"Doing"</formula>
    </cfRule>
    <cfRule type="cellIs" priority="3" operator="equal" dxfId="2">
      <formula>"Done"</formula>
    </cfRule>
    <cfRule type="cellIs" priority="4" operator="equal" dxfId="3">
      <formula>"Blocked"</formula>
    </cfRule>
  </conditionalFormatting>
  <dataValidations count="3">
    <dataValidation sqref="G2:G16" showDropDown="0" showInputMessage="0" showErrorMessage="0" allowBlank="1" promptTitle="선택" prompt="Todo / Doing / Done / Blocked" type="list">
      <formula1>"Todo,Doing,Done,Blocked"</formula1>
    </dataValidation>
    <dataValidation sqref="D2:D16" showDropDown="0" showInputMessage="0" showErrorMessage="0" allowBlank="1" promptTitle="선택" prompt="팀원 선택" type="list">
      <formula1>"최연우,권소라,김지혜,박회종,전원"</formula1>
    </dataValidation>
    <dataValidation sqref="B2:B16" showDropDown="0" showInputMessage="0" showErrorMessage="0" allowBlank="1" promptTitle="선택" prompt="영역 선택" type="list">
      <formula1>"DB,Crawler,Backend,UI,Docs"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2" customWidth="1" min="2" max="2"/>
    <col width="23.8" customWidth="1" min="3" max="3"/>
    <col width="50" customWidth="1" min="4" max="4"/>
    <col width="8" customWidth="1" min="5" max="5"/>
  </cols>
  <sheetData>
    <row r="1" ht="20" customHeight="1">
      <c r="A1" s="9" t="inlineStr">
        <is>
          <t>번호</t>
        </is>
      </c>
      <c r="B1" s="9" t="inlineStr">
        <is>
          <t>도메인</t>
        </is>
      </c>
      <c r="C1" s="9" t="inlineStr">
        <is>
          <t>사이트명</t>
        </is>
      </c>
      <c r="D1" s="9" t="inlineStr">
        <is>
          <t>URL</t>
        </is>
      </c>
      <c r="E1" s="9" t="inlineStr">
        <is>
          <t>비고</t>
        </is>
      </c>
    </row>
    <row r="2">
      <c r="A2" s="2" t="inlineStr">
        <is>
          <t>1</t>
        </is>
      </c>
      <c r="B2" s="2" t="inlineStr">
        <is>
          <t>자동차 등록현황</t>
        </is>
      </c>
      <c r="C2" s="2" t="inlineStr">
        <is>
          <t>국토교통부 통계누리</t>
        </is>
      </c>
      <c r="D2" s="2" t="inlineStr">
        <is>
          <t>https://stat.molit.go.kr/portal/cate/statMetaView.do?hRsId=58</t>
        </is>
      </c>
      <c r="E2" s="2" t="inlineStr"/>
    </row>
    <row r="3">
      <c r="A3" s="2" t="inlineStr">
        <is>
          <t>2</t>
        </is>
      </c>
      <c r="B3" s="2" t="inlineStr">
        <is>
          <t>수소차 등록현황</t>
        </is>
      </c>
      <c r="C3" s="2" t="inlineStr">
        <is>
          <t>수소모빌리티 허브 (H2HUB)</t>
        </is>
      </c>
      <c r="D3" s="2" t="inlineStr">
        <is>
          <t>https://h2hub.or.kr/main/stat/stat_use_hCar_apply.do</t>
        </is>
      </c>
      <c r="E3" s="2" t="inlineStr"/>
    </row>
    <row r="4">
      <c r="A4" s="2" t="inlineStr">
        <is>
          <t>3</t>
        </is>
      </c>
      <c r="B4" s="2" t="inlineStr">
        <is>
          <t>수소차 FAQ</t>
        </is>
      </c>
      <c r="C4" s="2" t="inlineStr">
        <is>
          <t>무공해차 통합누리집</t>
        </is>
      </c>
      <c r="D4" s="2" t="inlineStr">
        <is>
          <t>https://ev.or.kr/nportal/partcptn/initFaqAction.do</t>
        </is>
      </c>
      <c r="E4" s="2" t="inlineStr"/>
    </row>
    <row r="5">
      <c r="A5" s="2" t="inlineStr">
        <is>
          <t>4</t>
        </is>
      </c>
      <c r="B5" s="2" t="inlineStr">
        <is>
          <t>수소차 FAQ</t>
        </is>
      </c>
      <c r="C5" s="2" t="inlineStr">
        <is>
          <t>현대차 수소차 구매 FAQ</t>
        </is>
      </c>
      <c r="D5" s="2" t="inlineStr">
        <is>
          <t>https://www.hyundai.com/kr/ko/e/customer/guide/purchase/estimate-fcev</t>
        </is>
      </c>
      <c r="E5" s="2" t="inlineStr"/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0" customHeight="1">
      <c r="A1" s="10" t="inlineStr">
        <is>
          <t>일자</t>
        </is>
      </c>
      <c r="B1" s="10" t="inlineStr">
        <is>
          <t>참석자</t>
        </is>
      </c>
      <c r="C1" s="10" t="inlineStr">
        <is>
          <t>안건</t>
        </is>
      </c>
      <c r="D1" s="10" t="inlineStr">
        <is>
          <t>결정사항</t>
        </is>
      </c>
      <c r="E1" s="10" t="inlineStr">
        <is>
          <t>다음 액션</t>
        </is>
      </c>
      <c r="F1" s="10" t="inlineStr">
        <is>
          <t>담당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</sheetData>
  <autoFilter ref="A1:F3"/>
  <dataValidations count="1">
    <dataValidation sqref="F2:F3" showDropDown="0" showInputMessage="0" showErrorMessage="0" allowBlank="1" promptTitle="선택" prompt="팀원 선택" type="list">
      <formula1>"최연우,권소라,김지혜,박회종,전원"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0" customHeight="1">
      <c r="A1" s="11" t="inlineStr">
        <is>
          <t>번호</t>
        </is>
      </c>
      <c r="B1" s="11" t="inlineStr">
        <is>
          <t>일자</t>
        </is>
      </c>
      <c r="C1" s="11" t="inlineStr">
        <is>
          <t>내용</t>
        </is>
      </c>
      <c r="D1" s="11" t="inlineStr">
        <is>
          <t>담당</t>
        </is>
      </c>
      <c r="E1" s="11" t="inlineStr">
        <is>
          <t>상태</t>
        </is>
      </c>
      <c r="F1" s="11" t="inlineStr">
        <is>
          <t>해결 방법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</sheetData>
  <autoFilter ref="A1:F4"/>
  <conditionalFormatting sqref="E2:E4">
    <cfRule type="cellIs" priority="1" operator="equal" dxfId="4">
      <formula>"Open"</formula>
    </cfRule>
    <cfRule type="cellIs" priority="2" operator="equal" dxfId="2">
      <formula>"Closed"</formula>
    </cfRule>
  </conditionalFormatting>
  <dataValidations count="2">
    <dataValidation sqref="E2:E4" showDropDown="0" showInputMessage="0" showErrorMessage="0" allowBlank="1" promptTitle="선택" prompt="Open / Closed" type="list">
      <formula1>"Open,Closed"</formula1>
    </dataValidation>
    <dataValidation sqref="D2:D4" showDropDown="0" showInputMessage="0" showErrorMessage="0" allowBlank="1" promptTitle="선택" prompt="팀원 선택" type="list">
      <formula1>"최연우,권소라,김지혜,박회종,전원"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2026-05-16T08:00:59Z</dcterms:created>
  <dcterms:modified xmlns:dcterms="http://purl.org/dc/terms/" xmlns:xsi="http://www.w3.org/2001/XMLSchema-instance" xsi:type="dcterms:W3CDTF">2026-05-16T08:00:59Z</dcterms:modified>
</cp:coreProperties>
</file>